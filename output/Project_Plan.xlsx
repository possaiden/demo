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olidays" sheetId="3" state="visible" r:id="rId3"/>
  </sheets>
  <definedNames>
    <definedName name="ContractDate">Inputs!$C$6</definedName>
    <definedName name="PreOnboardingWeeks">Inputs!$C$7</definedName>
    <definedName name="Holidays">Holidays!$A$2:$A$201</definedName>
    <definedName name="_xlnm.Print_Area" localSheetId="0">'Plan'!$A$1:$AP$35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dd-mmm-yyyy"/>
    <numFmt numFmtId="167" formatCode="dd"/>
    <numFmt numFmtId="168" formatCode="mmm"/>
  </numFmts>
  <fonts count="26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9"/>
    </font>
    <font>
      <name val="Arial"/>
      <b val="1"/>
      <color rgb="001F2937"/>
      <sz val="10"/>
    </font>
    <font>
      <name val="Arial"/>
      <b val="1"/>
      <color rgb="000000FF"/>
      <sz val="10"/>
    </font>
    <font>
      <name val="Arial"/>
      <b val="1"/>
      <color rgb="001F2937"/>
      <sz val="11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color rgb="001F2937"/>
      <sz val="10"/>
    </font>
    <font>
      <name val="Arial"/>
      <b val="1"/>
      <color rgb="001F2937"/>
      <sz val="9"/>
    </font>
    <font>
      <name val="Arial"/>
      <color rgb="006B7280"/>
      <sz val="9"/>
    </font>
    <font>
      <name val="Arial"/>
      <color rgb="000000FF"/>
      <sz val="10"/>
    </font>
    <font>
      <name val="Arial"/>
      <b val="1"/>
      <color rgb="001F2937"/>
      <sz val="18"/>
    </font>
    <font>
      <name val="Arial"/>
      <color rgb="006B7280"/>
      <sz val="10"/>
    </font>
    <font>
      <name val="Arial"/>
      <b val="1"/>
      <color rgb="00FFFFFF"/>
      <sz val="9"/>
    </font>
    <font>
      <name val="Arial"/>
      <b val="1"/>
      <color rgb="00FFFFFF"/>
      <sz val="18"/>
    </font>
    <font>
      <name val="Arial"/>
      <color rgb="00D1D5DB"/>
      <sz val="8"/>
    </font>
    <font>
      <name val="Arial"/>
      <b val="1"/>
      <color rgb="006B7280"/>
      <sz val="9"/>
    </font>
    <font>
      <name val="Arial"/>
      <b val="1"/>
      <color rgb="00C0392B"/>
      <sz val="16"/>
    </font>
    <font>
      <name val="Arial"/>
      <color rgb="006B7280"/>
      <sz val="8"/>
    </font>
    <font>
      <name val="Arial"/>
      <b val="1"/>
      <color rgb="00FFFFFF"/>
      <sz val="8"/>
    </font>
    <font>
      <name val="Arial"/>
      <b val="1"/>
      <color rgb="00C0392B"/>
      <sz val="10"/>
    </font>
    <font>
      <name val="Arial"/>
      <b val="1"/>
      <color rgb="00D4A017"/>
      <sz val="13"/>
    </font>
    <font>
      <name val="Arial"/>
      <b val="1"/>
      <color rgb="00C0392B"/>
      <sz val="12"/>
    </font>
    <font>
      <name val="Arial"/>
      <b val="1"/>
      <color rgb="00D4A017"/>
      <sz val="12"/>
    </font>
    <font>
      <name val="Arial"/>
      <color rgb="001F2937"/>
      <sz val="9"/>
    </font>
  </fonts>
  <fills count="10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3B6EA5"/>
        <bgColor rgb="003B6EA5"/>
      </patternFill>
    </fill>
    <fill>
      <patternFill patternType="solid">
        <fgColor rgb="009BBBD9"/>
        <bgColor rgb="009BBBD9"/>
      </patternFill>
    </fill>
    <fill>
      <patternFill patternType="solid">
        <fgColor rgb="00F2A541"/>
        <bgColor rgb="00F2A541"/>
      </patternFill>
    </fill>
    <fill>
      <patternFill patternType="solid">
        <fgColor rgb="007B5EA7"/>
        <bgColor rgb="007B5EA7"/>
      </patternFill>
    </fill>
    <fill>
      <patternFill patternType="solid">
        <fgColor rgb="00E74C3C"/>
        <bgColor rgb="00E74C3C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 style="hair">
        <color rgb="00E5E7EB"/>
      </left>
      <bottom style="hair">
        <color rgb="00E5E7E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7" fillId="4" borderId="0" applyAlignment="1" pivotButton="0" quotePrefix="0" xfId="0">
      <alignment horizontal="center" vertical="center"/>
    </xf>
    <xf numFmtId="0" fontId="0" fillId="4" borderId="0" pivotButton="0" quotePrefix="0" xfId="0"/>
    <xf numFmtId="166" fontId="15" fillId="3" borderId="0" applyAlignment="1" pivotButton="0" quotePrefix="0" xfId="0">
      <alignment horizontal="center" vertical="center"/>
    </xf>
    <xf numFmtId="165" fontId="18" fillId="4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7" fillId="0" borderId="0" pivotButton="0" quotePrefix="0" xfId="0"/>
    <xf numFmtId="168" fontId="9" fillId="0" borderId="0" applyAlignment="1" pivotButton="0" quotePrefix="0" xfId="0">
      <alignment horizontal="left" vertical="bottom"/>
    </xf>
    <xf numFmtId="0" fontId="6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center" vertical="center"/>
    </xf>
    <xf numFmtId="167" fontId="20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17" fillId="4" borderId="0" pivotButton="0" quotePrefix="0" xfId="0"/>
    <xf numFmtId="165" fontId="17" fillId="4" borderId="0" pivotButton="0" quotePrefix="0" xfId="0"/>
    <xf numFmtId="0" fontId="0" fillId="4" borderId="6" pivotButton="0" quotePrefix="0" xfId="0"/>
    <xf numFmtId="0" fontId="3" fillId="0" borderId="0" pivotButton="0" quotePrefix="0" xfId="0"/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6" pivotButton="0" quotePrefix="0" xfId="0"/>
    <xf numFmtId="0" fontId="21" fillId="0" borderId="0" pivotButton="0" quotePrefix="0" xfId="0"/>
    <xf numFmtId="0" fontId="23" fillId="0" borderId="6" applyAlignment="1" pivotButton="0" quotePrefix="0" xfId="0">
      <alignment horizontal="center" vertical="center"/>
    </xf>
    <xf numFmtId="0" fontId="17" fillId="0" borderId="0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165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6" fillId="3" borderId="0" pivotButton="0" quotePrefix="0" xfId="0"/>
    <xf numFmtId="165" fontId="11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3B6EA5"/>
          <bgColor rgb="003B6EA5"/>
        </patternFill>
      </fill>
    </dxf>
    <dxf>
      <fill>
        <patternFill patternType="solid">
          <fgColor rgb="009BBBD9"/>
          <bgColor rgb="009BBBD9"/>
        </patternFill>
      </fill>
    </dxf>
    <dxf>
      <fill>
        <patternFill patternType="solid">
          <fgColor rgb="00F2A541"/>
          <bgColor rgb="00F2A541"/>
        </patternFill>
      </fill>
    </dxf>
    <dxf>
      <fill>
        <patternFill patternType="solid">
          <fgColor rgb="007B5EA7"/>
          <bgColor rgb="007B5EA7"/>
        </patternFill>
      </fill>
    </dxf>
    <dxf>
      <border>
        <left style="medium">
          <color rgb="00E74C3C"/>
        </left>
        <right style="medium">
          <color rgb="00E74C3C"/>
        </right>
      </border>
    </dxf>
    <dxf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Planner</author>
  </authors>
  <commentList>
    <comment ref="C6" authorId="0" shapeId="0">
      <text>
        <t>Source: user input. Default contract date for every process; override per process in the table below.</t>
      </text>
    </comment>
    <comment ref="C7" authorId="0" shapeId="0">
      <text>
        <t>Rule from user: Pre-Onboarding = 2 weeks after hiring end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P35"/>
  <sheetViews>
    <sheetView showGridLines="0" zoomScale="90" workbookViewId="0">
      <pane xSplit="6" ySplit="9" topLeftCell="G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0" customWidth="1" min="2" max="2"/>
    <col width="7" customWidth="1" min="3" max="3"/>
    <col width="11.5" customWidth="1" min="4" max="4"/>
    <col width="11.5" customWidth="1" min="5" max="5"/>
    <col width="1.5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</cols>
  <sheetData>
    <row r="1" ht="28" customHeight="1">
      <c r="B1" s="1">
        <f>Inputs!C4&amp;" — Transition Plan"</f>
        <v/>
      </c>
    </row>
    <row r="2">
      <c r="B2" s="2">
        <f>"Client: "&amp;Inputs!C5</f>
        <v/>
      </c>
    </row>
    <row r="4">
      <c r="B4" s="3" t="inlineStr">
        <is>
          <t>◆  ALL PROCESSES LIVE BY</t>
        </is>
      </c>
      <c r="C4" s="4" t="n"/>
      <c r="D4" s="4" t="n"/>
      <c r="E4" s="4" t="n"/>
      <c r="G4" s="5">
        <f>UPPER(Inputs!C18)&amp;" ◆ GO-LIVE"</f>
        <v/>
      </c>
      <c r="H4" s="6" t="n"/>
      <c r="I4" s="6" t="n"/>
      <c r="J4" s="6" t="n"/>
      <c r="K4" s="6" t="n"/>
      <c r="L4" s="6" t="n"/>
      <c r="N4" s="5">
        <f>UPPER(Inputs!C19)&amp;" ◆ GO-LIVE"</f>
        <v/>
      </c>
      <c r="O4" s="6" t="n"/>
      <c r="P4" s="6" t="n"/>
      <c r="Q4" s="6" t="n"/>
      <c r="R4" s="6" t="n"/>
      <c r="S4" s="6" t="n"/>
      <c r="U4" s="5">
        <f>UPPER(Inputs!C20)&amp;" ◆ GO-LIVE"</f>
        <v/>
      </c>
      <c r="V4" s="6" t="n"/>
      <c r="W4" s="6" t="n"/>
      <c r="X4" s="6" t="n"/>
      <c r="Y4" s="6" t="n"/>
      <c r="Z4" s="6" t="n"/>
    </row>
    <row r="5" ht="26" customHeight="1">
      <c r="B5" s="7">
        <f>MAX($D$16,$D$24,$D$32)</f>
        <v/>
      </c>
      <c r="C5" s="4" t="n"/>
      <c r="D5" s="4" t="n"/>
      <c r="E5" s="4" t="n"/>
      <c r="G5" s="8">
        <f>D16</f>
        <v/>
      </c>
      <c r="H5" s="6" t="n"/>
      <c r="I5" s="6" t="n"/>
      <c r="J5" s="6" t="n"/>
      <c r="K5" s="6" t="n"/>
      <c r="L5" s="6" t="n"/>
      <c r="N5" s="8">
        <f>D24</f>
        <v/>
      </c>
      <c r="O5" s="6" t="n"/>
      <c r="P5" s="6" t="n"/>
      <c r="Q5" s="6" t="n"/>
      <c r="R5" s="6" t="n"/>
      <c r="S5" s="6" t="n"/>
      <c r="U5" s="8">
        <f>D32</f>
        <v/>
      </c>
      <c r="V5" s="6" t="n"/>
      <c r="W5" s="6" t="n"/>
      <c r="X5" s="6" t="n"/>
      <c r="Y5" s="6" t="n"/>
      <c r="Z5" s="6" t="n"/>
    </row>
    <row r="6">
      <c r="B6" s="9">
        <f>ROUND((B5-MIN($D$11,$D$19,$D$27))/7,0)&amp;" weeks from contract signature"</f>
        <v/>
      </c>
      <c r="C6" s="4" t="n"/>
      <c r="D6" s="4" t="n"/>
      <c r="E6" s="4" t="n"/>
      <c r="G6" s="10">
        <f>ROUND((D16-D11)/7,0)&amp;" wks from contract"</f>
        <v/>
      </c>
      <c r="H6" s="6" t="n"/>
      <c r="I6" s="6" t="n"/>
      <c r="J6" s="6" t="n"/>
      <c r="K6" s="6" t="n"/>
      <c r="L6" s="6" t="n"/>
      <c r="N6" s="10">
        <f>ROUND((D24-D19)/7,0)&amp;" wks from contract"</f>
        <v/>
      </c>
      <c r="O6" s="6" t="n"/>
      <c r="P6" s="6" t="n"/>
      <c r="Q6" s="6" t="n"/>
      <c r="R6" s="6" t="n"/>
      <c r="S6" s="6" t="n"/>
      <c r="U6" s="10">
        <f>ROUND((D32-D27)/7,0)&amp;" wks from contract"</f>
        <v/>
      </c>
      <c r="V6" s="6" t="n"/>
      <c r="W6" s="6" t="n"/>
      <c r="X6" s="6" t="n"/>
      <c r="Y6" s="6" t="n"/>
      <c r="Z6" s="6" t="n"/>
    </row>
    <row r="8">
      <c r="B8" s="11" t="inlineStr">
        <is>
          <t>Timeline: week commencing (Mon)</t>
        </is>
      </c>
      <c r="G8" s="12">
        <f>G9</f>
        <v/>
      </c>
      <c r="H8" s="12">
        <f>IF(MONTH(H9)&lt;&gt;MONTH(G9),H9,"")</f>
        <v/>
      </c>
      <c r="I8" s="12">
        <f>IF(MONTH(I9)&lt;&gt;MONTH(H9),I9,"")</f>
        <v/>
      </c>
      <c r="J8" s="12">
        <f>IF(MONTH(J9)&lt;&gt;MONTH(I9),J9,"")</f>
        <v/>
      </c>
      <c r="K8" s="12">
        <f>IF(MONTH(K9)&lt;&gt;MONTH(J9),K9,"")</f>
        <v/>
      </c>
      <c r="L8" s="12">
        <f>IF(MONTH(L9)&lt;&gt;MONTH(K9),L9,"")</f>
        <v/>
      </c>
      <c r="M8" s="12">
        <f>IF(MONTH(M9)&lt;&gt;MONTH(L9),M9,"")</f>
        <v/>
      </c>
      <c r="N8" s="12">
        <f>IF(MONTH(N9)&lt;&gt;MONTH(M9),N9,"")</f>
        <v/>
      </c>
      <c r="O8" s="12">
        <f>IF(MONTH(O9)&lt;&gt;MONTH(N9),O9,"")</f>
        <v/>
      </c>
      <c r="P8" s="12">
        <f>IF(MONTH(P9)&lt;&gt;MONTH(O9),P9,"")</f>
        <v/>
      </c>
      <c r="Q8" s="12">
        <f>IF(MONTH(Q9)&lt;&gt;MONTH(P9),Q9,"")</f>
        <v/>
      </c>
      <c r="R8" s="12">
        <f>IF(MONTH(R9)&lt;&gt;MONTH(Q9),R9,"")</f>
        <v/>
      </c>
      <c r="S8" s="12">
        <f>IF(MONTH(S9)&lt;&gt;MONTH(R9),S9,"")</f>
        <v/>
      </c>
      <c r="T8" s="12">
        <f>IF(MONTH(T9)&lt;&gt;MONTH(S9),T9,"")</f>
        <v/>
      </c>
      <c r="U8" s="12">
        <f>IF(MONTH(U9)&lt;&gt;MONTH(T9),U9,"")</f>
        <v/>
      </c>
      <c r="V8" s="12">
        <f>IF(MONTH(V9)&lt;&gt;MONTH(U9),V9,"")</f>
        <v/>
      </c>
      <c r="W8" s="12">
        <f>IF(MONTH(W9)&lt;&gt;MONTH(V9),W9,"")</f>
        <v/>
      </c>
      <c r="X8" s="12">
        <f>IF(MONTH(X9)&lt;&gt;MONTH(W9),X9,"")</f>
        <v/>
      </c>
      <c r="Y8" s="12">
        <f>IF(MONTH(Y9)&lt;&gt;MONTH(X9),Y9,"")</f>
        <v/>
      </c>
      <c r="Z8" s="12">
        <f>IF(MONTH(Z9)&lt;&gt;MONTH(Y9),Z9,"")</f>
        <v/>
      </c>
      <c r="AA8" s="12">
        <f>IF(MONTH(AA9)&lt;&gt;MONTH(Z9),AA9,"")</f>
        <v/>
      </c>
      <c r="AB8" s="12">
        <f>IF(MONTH(AB9)&lt;&gt;MONTH(AA9),AB9,"")</f>
        <v/>
      </c>
      <c r="AC8" s="12">
        <f>IF(MONTH(AC9)&lt;&gt;MONTH(AB9),AC9,"")</f>
        <v/>
      </c>
      <c r="AD8" s="12">
        <f>IF(MONTH(AD9)&lt;&gt;MONTH(AC9),AD9,"")</f>
        <v/>
      </c>
      <c r="AE8" s="12">
        <f>IF(MONTH(AE9)&lt;&gt;MONTH(AD9),AE9,"")</f>
        <v/>
      </c>
      <c r="AF8" s="12">
        <f>IF(MONTH(AF9)&lt;&gt;MONTH(AE9),AF9,"")</f>
        <v/>
      </c>
      <c r="AG8" s="12">
        <f>IF(MONTH(AG9)&lt;&gt;MONTH(AF9),AG9,"")</f>
        <v/>
      </c>
      <c r="AH8" s="12">
        <f>IF(MONTH(AH9)&lt;&gt;MONTH(AG9),AH9,"")</f>
        <v/>
      </c>
      <c r="AI8" s="12">
        <f>IF(MONTH(AI9)&lt;&gt;MONTH(AH9),AI9,"")</f>
        <v/>
      </c>
      <c r="AJ8" s="12">
        <f>IF(MONTH(AJ9)&lt;&gt;MONTH(AI9),AJ9,"")</f>
        <v/>
      </c>
      <c r="AK8" s="12">
        <f>IF(MONTH(AK9)&lt;&gt;MONTH(AJ9),AK9,"")</f>
        <v/>
      </c>
      <c r="AL8" s="12">
        <f>IF(MONTH(AL9)&lt;&gt;MONTH(AK9),AL9,"")</f>
        <v/>
      </c>
      <c r="AM8" s="12">
        <f>IF(MONTH(AM9)&lt;&gt;MONTH(AL9),AM9,"")</f>
        <v/>
      </c>
      <c r="AN8" s="12">
        <f>IF(MONTH(AN9)&lt;&gt;MONTH(AM9),AN9,"")</f>
        <v/>
      </c>
      <c r="AO8" s="12">
        <f>IF(MONTH(AO9)&lt;&gt;MONTH(AN9),AO9,"")</f>
        <v/>
      </c>
      <c r="AP8" s="12">
        <f>IF(MONTH(AP9)&lt;&gt;MONTH(AO9),AP9,"")</f>
        <v/>
      </c>
    </row>
    <row r="9">
      <c r="B9" s="13" t="inlineStr">
        <is>
          <t>Process / Activity</t>
        </is>
      </c>
      <c r="C9" s="14" t="inlineStr">
        <is>
          <t>Weeks</t>
        </is>
      </c>
      <c r="D9" s="14" t="inlineStr">
        <is>
          <t>Start</t>
        </is>
      </c>
      <c r="E9" s="14" t="inlineStr">
        <is>
          <t>End</t>
        </is>
      </c>
      <c r="G9" s="15">
        <f>MIN(Inputs!$D$18,Inputs!$D$19,Inputs!$D$20)-WEEKDAY(MIN(Inputs!$D$18,Inputs!$D$19,Inputs!$D$20),3)</f>
        <v/>
      </c>
      <c r="H9" s="15">
        <f>G9+7</f>
        <v/>
      </c>
      <c r="I9" s="15">
        <f>H9+7</f>
        <v/>
      </c>
      <c r="J9" s="15">
        <f>I9+7</f>
        <v/>
      </c>
      <c r="K9" s="15">
        <f>J9+7</f>
        <v/>
      </c>
      <c r="L9" s="15">
        <f>K9+7</f>
        <v/>
      </c>
      <c r="M9" s="15">
        <f>L9+7</f>
        <v/>
      </c>
      <c r="N9" s="15">
        <f>M9+7</f>
        <v/>
      </c>
      <c r="O9" s="15">
        <f>N9+7</f>
        <v/>
      </c>
      <c r="P9" s="15">
        <f>O9+7</f>
        <v/>
      </c>
      <c r="Q9" s="15">
        <f>P9+7</f>
        <v/>
      </c>
      <c r="R9" s="15">
        <f>Q9+7</f>
        <v/>
      </c>
      <c r="S9" s="15">
        <f>R9+7</f>
        <v/>
      </c>
      <c r="T9" s="15">
        <f>S9+7</f>
        <v/>
      </c>
      <c r="U9" s="15">
        <f>T9+7</f>
        <v/>
      </c>
      <c r="V9" s="15">
        <f>U9+7</f>
        <v/>
      </c>
      <c r="W9" s="15">
        <f>V9+7</f>
        <v/>
      </c>
      <c r="X9" s="15">
        <f>W9+7</f>
        <v/>
      </c>
      <c r="Y9" s="15">
        <f>X9+7</f>
        <v/>
      </c>
      <c r="Z9" s="15">
        <f>Y9+7</f>
        <v/>
      </c>
      <c r="AA9" s="15">
        <f>Z9+7</f>
        <v/>
      </c>
      <c r="AB9" s="15">
        <f>AA9+7</f>
        <v/>
      </c>
      <c r="AC9" s="15">
        <f>AB9+7</f>
        <v/>
      </c>
      <c r="AD9" s="15">
        <f>AC9+7</f>
        <v/>
      </c>
      <c r="AE9" s="15">
        <f>AD9+7</f>
        <v/>
      </c>
      <c r="AF9" s="15">
        <f>AE9+7</f>
        <v/>
      </c>
      <c r="AG9" s="15">
        <f>AF9+7</f>
        <v/>
      </c>
      <c r="AH9" s="15">
        <f>AG9+7</f>
        <v/>
      </c>
      <c r="AI9" s="15">
        <f>AH9+7</f>
        <v/>
      </c>
      <c r="AJ9" s="15">
        <f>AI9+7</f>
        <v/>
      </c>
      <c r="AK9" s="15">
        <f>AJ9+7</f>
        <v/>
      </c>
      <c r="AL9" s="15">
        <f>AK9+7</f>
        <v/>
      </c>
      <c r="AM9" s="15">
        <f>AL9+7</f>
        <v/>
      </c>
      <c r="AN9" s="15">
        <f>AM9+7</f>
        <v/>
      </c>
      <c r="AO9" s="15">
        <f>AN9+7</f>
        <v/>
      </c>
      <c r="AP9" s="15">
        <f>AO9+7</f>
        <v/>
      </c>
    </row>
    <row r="10" ht="20" customHeight="1">
      <c r="B10" s="16">
        <f>Inputs!B18&amp;"  ("&amp;Inputs!C18&amp;")"</f>
        <v/>
      </c>
      <c r="C10" s="17">
        <f>ROUND((E10-D10)/7,0)</f>
        <v/>
      </c>
      <c r="D10" s="18">
        <f>D11</f>
        <v/>
      </c>
      <c r="E10" s="18">
        <f>D16</f>
        <v/>
      </c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</row>
    <row r="11" ht="18" customHeight="1">
      <c r="B11" s="20" t="inlineStr">
        <is>
          <t>★  Contract Signed</t>
        </is>
      </c>
      <c r="C11" s="21" t="n"/>
      <c r="D11" s="22">
        <f>Inputs!D18</f>
        <v/>
      </c>
      <c r="E11" s="22">
        <f>D11</f>
        <v/>
      </c>
      <c r="G11" s="23">
        <f>IF(AND($D11&gt;=G$9,$D11&lt;G$9+7),"★","")</f>
        <v/>
      </c>
      <c r="H11" s="23">
        <f>IF(AND($D11&gt;=H$9,$D11&lt;H$9+7),"★","")</f>
        <v/>
      </c>
      <c r="I11" s="23">
        <f>IF(AND($D11&gt;=I$9,$D11&lt;I$9+7),"★","")</f>
        <v/>
      </c>
      <c r="J11" s="23">
        <f>IF(AND($D11&gt;=J$9,$D11&lt;J$9+7),"★","")</f>
        <v/>
      </c>
      <c r="K11" s="23">
        <f>IF(AND($D11&gt;=K$9,$D11&lt;K$9+7),"★","")</f>
        <v/>
      </c>
      <c r="L11" s="23">
        <f>IF(AND($D11&gt;=L$9,$D11&lt;L$9+7),"★","")</f>
        <v/>
      </c>
      <c r="M11" s="23">
        <f>IF(AND($D11&gt;=M$9,$D11&lt;M$9+7),"★","")</f>
        <v/>
      </c>
      <c r="N11" s="23">
        <f>IF(AND($D11&gt;=N$9,$D11&lt;N$9+7),"★","")</f>
        <v/>
      </c>
      <c r="O11" s="23">
        <f>IF(AND($D11&gt;=O$9,$D11&lt;O$9+7),"★","")</f>
        <v/>
      </c>
      <c r="P11" s="23">
        <f>IF(AND($D11&gt;=P$9,$D11&lt;P$9+7),"★","")</f>
        <v/>
      </c>
      <c r="Q11" s="23">
        <f>IF(AND($D11&gt;=Q$9,$D11&lt;Q$9+7),"★","")</f>
        <v/>
      </c>
      <c r="R11" s="23">
        <f>IF(AND($D11&gt;=R$9,$D11&lt;R$9+7),"★","")</f>
        <v/>
      </c>
      <c r="S11" s="23">
        <f>IF(AND($D11&gt;=S$9,$D11&lt;S$9+7),"★","")</f>
        <v/>
      </c>
      <c r="T11" s="23">
        <f>IF(AND($D11&gt;=T$9,$D11&lt;T$9+7),"★","")</f>
        <v/>
      </c>
      <c r="U11" s="23">
        <f>IF(AND($D11&gt;=U$9,$D11&lt;U$9+7),"★","")</f>
        <v/>
      </c>
      <c r="V11" s="23">
        <f>IF(AND($D11&gt;=V$9,$D11&lt;V$9+7),"★","")</f>
        <v/>
      </c>
      <c r="W11" s="23">
        <f>IF(AND($D11&gt;=W$9,$D11&lt;W$9+7),"★","")</f>
        <v/>
      </c>
      <c r="X11" s="23">
        <f>IF(AND($D11&gt;=X$9,$D11&lt;X$9+7),"★","")</f>
        <v/>
      </c>
      <c r="Y11" s="23">
        <f>IF(AND($D11&gt;=Y$9,$D11&lt;Y$9+7),"★","")</f>
        <v/>
      </c>
      <c r="Z11" s="23">
        <f>IF(AND($D11&gt;=Z$9,$D11&lt;Z$9+7),"★","")</f>
        <v/>
      </c>
      <c r="AA11" s="23">
        <f>IF(AND($D11&gt;=AA$9,$D11&lt;AA$9+7),"★","")</f>
        <v/>
      </c>
      <c r="AB11" s="23">
        <f>IF(AND($D11&gt;=AB$9,$D11&lt;AB$9+7),"★","")</f>
        <v/>
      </c>
      <c r="AC11" s="23">
        <f>IF(AND($D11&gt;=AC$9,$D11&lt;AC$9+7),"★","")</f>
        <v/>
      </c>
      <c r="AD11" s="23">
        <f>IF(AND($D11&gt;=AD$9,$D11&lt;AD$9+7),"★","")</f>
        <v/>
      </c>
      <c r="AE11" s="23">
        <f>IF(AND($D11&gt;=AE$9,$D11&lt;AE$9+7),"★","")</f>
        <v/>
      </c>
      <c r="AF11" s="23">
        <f>IF(AND($D11&gt;=AF$9,$D11&lt;AF$9+7),"★","")</f>
        <v/>
      </c>
      <c r="AG11" s="23">
        <f>IF(AND($D11&gt;=AG$9,$D11&lt;AG$9+7),"★","")</f>
        <v/>
      </c>
      <c r="AH11" s="23">
        <f>IF(AND($D11&gt;=AH$9,$D11&lt;AH$9+7),"★","")</f>
        <v/>
      </c>
      <c r="AI11" s="23">
        <f>IF(AND($D11&gt;=AI$9,$D11&lt;AI$9+7),"★","")</f>
        <v/>
      </c>
      <c r="AJ11" s="23">
        <f>IF(AND($D11&gt;=AJ$9,$D11&lt;AJ$9+7),"★","")</f>
        <v/>
      </c>
      <c r="AK11" s="23">
        <f>IF(AND($D11&gt;=AK$9,$D11&lt;AK$9+7),"★","")</f>
        <v/>
      </c>
      <c r="AL11" s="23">
        <f>IF(AND($D11&gt;=AL$9,$D11&lt;AL$9+7),"★","")</f>
        <v/>
      </c>
      <c r="AM11" s="23">
        <f>IF(AND($D11&gt;=AM$9,$D11&lt;AM$9+7),"★","")</f>
        <v/>
      </c>
      <c r="AN11" s="23">
        <f>IF(AND($D11&gt;=AN$9,$D11&lt;AN$9+7),"★","")</f>
        <v/>
      </c>
      <c r="AO11" s="23">
        <f>IF(AND($D11&gt;=AO$9,$D11&lt;AO$9+7),"★","")</f>
        <v/>
      </c>
      <c r="AP11" s="23">
        <f>IF(AND($D11&gt;=AP$9,$D11&lt;AP$9+7),"★","")</f>
        <v/>
      </c>
    </row>
    <row r="12" ht="18" customHeight="1">
      <c r="B12" s="24" t="inlineStr">
        <is>
          <t xml:space="preserve">      Hiring</t>
        </is>
      </c>
      <c r="C12" s="21">
        <f>Inputs!E18</f>
        <v/>
      </c>
      <c r="D12" s="22">
        <f>WORKDAY(E11,1,Holidays)</f>
        <v/>
      </c>
      <c r="E12" s="22">
        <f>WORKDAY(D12,C12*5-1,Holidays)</f>
        <v/>
      </c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</row>
    <row r="13" ht="18" customHeight="1">
      <c r="B13" s="24" t="inlineStr">
        <is>
          <t xml:space="preserve">      Pre-Onboarding</t>
        </is>
      </c>
      <c r="C13" s="21">
        <f>Inputs!F18</f>
        <v/>
      </c>
      <c r="D13" s="22">
        <f>WORKDAY(E12,1,Holidays)</f>
        <v/>
      </c>
      <c r="E13" s="22">
        <f>WORKDAY(D13,C13*5-1,Holidays)</f>
        <v/>
      </c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</row>
    <row r="14" ht="18" customHeight="1">
      <c r="B14" s="24" t="inlineStr">
        <is>
          <t xml:space="preserve">      Knowledge Transfer</t>
        </is>
      </c>
      <c r="C14" s="21">
        <f>Inputs!G18</f>
        <v/>
      </c>
      <c r="D14" s="22">
        <f>WORKDAY(E13,1,Holidays)</f>
        <v/>
      </c>
      <c r="E14" s="22">
        <f>WORKDAY(D14,C14*5-1,Holidays)</f>
        <v/>
      </c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</row>
    <row r="15" ht="18" customHeight="1">
      <c r="B15" s="24" t="inlineStr">
        <is>
          <t xml:space="preserve">      Guided Production</t>
        </is>
      </c>
      <c r="C15" s="21">
        <f>Inputs!H18</f>
        <v/>
      </c>
      <c r="D15" s="22">
        <f>WORKDAY(E14,1,Holidays)</f>
        <v/>
      </c>
      <c r="E15" s="22">
        <f>WORKDAY(D15,C15*5-1,Holidays)</f>
        <v/>
      </c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</row>
    <row r="16" ht="18" customHeight="1">
      <c r="B16" s="26" t="inlineStr">
        <is>
          <t>◆  Go-Live</t>
        </is>
      </c>
      <c r="C16" s="21" t="n"/>
      <c r="D16" s="22">
        <f>WORKDAY(E15,1,Holidays)</f>
        <v/>
      </c>
      <c r="E16" s="22">
        <f>D16</f>
        <v/>
      </c>
      <c r="G16" s="27">
        <f>IF(AND($D16&gt;=G$9,$D16&lt;G$9+7),"◆","")</f>
        <v/>
      </c>
      <c r="H16" s="27">
        <f>IF(AND($D16&gt;=H$9,$D16&lt;H$9+7),"◆","")</f>
        <v/>
      </c>
      <c r="I16" s="27">
        <f>IF(AND($D16&gt;=I$9,$D16&lt;I$9+7),"◆","")</f>
        <v/>
      </c>
      <c r="J16" s="27">
        <f>IF(AND($D16&gt;=J$9,$D16&lt;J$9+7),"◆","")</f>
        <v/>
      </c>
      <c r="K16" s="27">
        <f>IF(AND($D16&gt;=K$9,$D16&lt;K$9+7),"◆","")</f>
        <v/>
      </c>
      <c r="L16" s="27">
        <f>IF(AND($D16&gt;=L$9,$D16&lt;L$9+7),"◆","")</f>
        <v/>
      </c>
      <c r="M16" s="27">
        <f>IF(AND($D16&gt;=M$9,$D16&lt;M$9+7),"◆","")</f>
        <v/>
      </c>
      <c r="N16" s="27">
        <f>IF(AND($D16&gt;=N$9,$D16&lt;N$9+7),"◆","")</f>
        <v/>
      </c>
      <c r="O16" s="27">
        <f>IF(AND($D16&gt;=O$9,$D16&lt;O$9+7),"◆","")</f>
        <v/>
      </c>
      <c r="P16" s="27">
        <f>IF(AND($D16&gt;=P$9,$D16&lt;P$9+7),"◆","")</f>
        <v/>
      </c>
      <c r="Q16" s="27">
        <f>IF(AND($D16&gt;=Q$9,$D16&lt;Q$9+7),"◆","")</f>
        <v/>
      </c>
      <c r="R16" s="27">
        <f>IF(AND($D16&gt;=R$9,$D16&lt;R$9+7),"◆","")</f>
        <v/>
      </c>
      <c r="S16" s="27">
        <f>IF(AND($D16&gt;=S$9,$D16&lt;S$9+7),"◆","")</f>
        <v/>
      </c>
      <c r="T16" s="27">
        <f>IF(AND($D16&gt;=T$9,$D16&lt;T$9+7),"◆","")</f>
        <v/>
      </c>
      <c r="U16" s="27">
        <f>IF(AND($D16&gt;=U$9,$D16&lt;U$9+7),"◆","")</f>
        <v/>
      </c>
      <c r="V16" s="27">
        <f>IF(AND($D16&gt;=V$9,$D16&lt;V$9+7),"◆","")</f>
        <v/>
      </c>
      <c r="W16" s="27">
        <f>IF(AND($D16&gt;=W$9,$D16&lt;W$9+7),"◆","")</f>
        <v/>
      </c>
      <c r="X16" s="27">
        <f>IF(AND($D16&gt;=X$9,$D16&lt;X$9+7),"◆","")</f>
        <v/>
      </c>
      <c r="Y16" s="27">
        <f>IF(AND($D16&gt;=Y$9,$D16&lt;Y$9+7),"◆","")</f>
        <v/>
      </c>
      <c r="Z16" s="27">
        <f>IF(AND($D16&gt;=Z$9,$D16&lt;Z$9+7),"◆","")</f>
        <v/>
      </c>
      <c r="AA16" s="27">
        <f>IF(AND($D16&gt;=AA$9,$D16&lt;AA$9+7),"◆","")</f>
        <v/>
      </c>
      <c r="AB16" s="27">
        <f>IF(AND($D16&gt;=AB$9,$D16&lt;AB$9+7),"◆","")</f>
        <v/>
      </c>
      <c r="AC16" s="27">
        <f>IF(AND($D16&gt;=AC$9,$D16&lt;AC$9+7),"◆","")</f>
        <v/>
      </c>
      <c r="AD16" s="27">
        <f>IF(AND($D16&gt;=AD$9,$D16&lt;AD$9+7),"◆","")</f>
        <v/>
      </c>
      <c r="AE16" s="27">
        <f>IF(AND($D16&gt;=AE$9,$D16&lt;AE$9+7),"◆","")</f>
        <v/>
      </c>
      <c r="AF16" s="27">
        <f>IF(AND($D16&gt;=AF$9,$D16&lt;AF$9+7),"◆","")</f>
        <v/>
      </c>
      <c r="AG16" s="27">
        <f>IF(AND($D16&gt;=AG$9,$D16&lt;AG$9+7),"◆","")</f>
        <v/>
      </c>
      <c r="AH16" s="27">
        <f>IF(AND($D16&gt;=AH$9,$D16&lt;AH$9+7),"◆","")</f>
        <v/>
      </c>
      <c r="AI16" s="27">
        <f>IF(AND($D16&gt;=AI$9,$D16&lt;AI$9+7),"◆","")</f>
        <v/>
      </c>
      <c r="AJ16" s="27">
        <f>IF(AND($D16&gt;=AJ$9,$D16&lt;AJ$9+7),"◆","")</f>
        <v/>
      </c>
      <c r="AK16" s="27">
        <f>IF(AND($D16&gt;=AK$9,$D16&lt;AK$9+7),"◆","")</f>
        <v/>
      </c>
      <c r="AL16" s="27">
        <f>IF(AND($D16&gt;=AL$9,$D16&lt;AL$9+7),"◆","")</f>
        <v/>
      </c>
      <c r="AM16" s="27">
        <f>IF(AND($D16&gt;=AM$9,$D16&lt;AM$9+7),"◆","")</f>
        <v/>
      </c>
      <c r="AN16" s="27">
        <f>IF(AND($D16&gt;=AN$9,$D16&lt;AN$9+7),"◆","")</f>
        <v/>
      </c>
      <c r="AO16" s="27">
        <f>IF(AND($D16&gt;=AO$9,$D16&lt;AO$9+7),"◆","")</f>
        <v/>
      </c>
      <c r="AP16" s="27">
        <f>IF(AND($D16&gt;=AP$9,$D16&lt;AP$9+7),"◆","")</f>
        <v/>
      </c>
    </row>
    <row r="18" ht="20" customHeight="1">
      <c r="B18" s="16">
        <f>Inputs!B19&amp;"  ("&amp;Inputs!C19&amp;")"</f>
        <v/>
      </c>
      <c r="C18" s="17">
        <f>ROUND((E18-D18)/7,0)</f>
        <v/>
      </c>
      <c r="D18" s="18">
        <f>D19</f>
        <v/>
      </c>
      <c r="E18" s="18">
        <f>D24</f>
        <v/>
      </c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</row>
    <row r="19" ht="18" customHeight="1">
      <c r="B19" s="20" t="inlineStr">
        <is>
          <t>★  Contract Signed</t>
        </is>
      </c>
      <c r="C19" s="21" t="n"/>
      <c r="D19" s="22">
        <f>Inputs!D19</f>
        <v/>
      </c>
      <c r="E19" s="22">
        <f>D19</f>
        <v/>
      </c>
      <c r="G19" s="23">
        <f>IF(AND($D19&gt;=G$9,$D19&lt;G$9+7),"★","")</f>
        <v/>
      </c>
      <c r="H19" s="23">
        <f>IF(AND($D19&gt;=H$9,$D19&lt;H$9+7),"★","")</f>
        <v/>
      </c>
      <c r="I19" s="23">
        <f>IF(AND($D19&gt;=I$9,$D19&lt;I$9+7),"★","")</f>
        <v/>
      </c>
      <c r="J19" s="23">
        <f>IF(AND($D19&gt;=J$9,$D19&lt;J$9+7),"★","")</f>
        <v/>
      </c>
      <c r="K19" s="23">
        <f>IF(AND($D19&gt;=K$9,$D19&lt;K$9+7),"★","")</f>
        <v/>
      </c>
      <c r="L19" s="23">
        <f>IF(AND($D19&gt;=L$9,$D19&lt;L$9+7),"★","")</f>
        <v/>
      </c>
      <c r="M19" s="23">
        <f>IF(AND($D19&gt;=M$9,$D19&lt;M$9+7),"★","")</f>
        <v/>
      </c>
      <c r="N19" s="23">
        <f>IF(AND($D19&gt;=N$9,$D19&lt;N$9+7),"★","")</f>
        <v/>
      </c>
      <c r="O19" s="23">
        <f>IF(AND($D19&gt;=O$9,$D19&lt;O$9+7),"★","")</f>
        <v/>
      </c>
      <c r="P19" s="23">
        <f>IF(AND($D19&gt;=P$9,$D19&lt;P$9+7),"★","")</f>
        <v/>
      </c>
      <c r="Q19" s="23">
        <f>IF(AND($D19&gt;=Q$9,$D19&lt;Q$9+7),"★","")</f>
        <v/>
      </c>
      <c r="R19" s="23">
        <f>IF(AND($D19&gt;=R$9,$D19&lt;R$9+7),"★","")</f>
        <v/>
      </c>
      <c r="S19" s="23">
        <f>IF(AND($D19&gt;=S$9,$D19&lt;S$9+7),"★","")</f>
        <v/>
      </c>
      <c r="T19" s="23">
        <f>IF(AND($D19&gt;=T$9,$D19&lt;T$9+7),"★","")</f>
        <v/>
      </c>
      <c r="U19" s="23">
        <f>IF(AND($D19&gt;=U$9,$D19&lt;U$9+7),"★","")</f>
        <v/>
      </c>
      <c r="V19" s="23">
        <f>IF(AND($D19&gt;=V$9,$D19&lt;V$9+7),"★","")</f>
        <v/>
      </c>
      <c r="W19" s="23">
        <f>IF(AND($D19&gt;=W$9,$D19&lt;W$9+7),"★","")</f>
        <v/>
      </c>
      <c r="X19" s="23">
        <f>IF(AND($D19&gt;=X$9,$D19&lt;X$9+7),"★","")</f>
        <v/>
      </c>
      <c r="Y19" s="23">
        <f>IF(AND($D19&gt;=Y$9,$D19&lt;Y$9+7),"★","")</f>
        <v/>
      </c>
      <c r="Z19" s="23">
        <f>IF(AND($D19&gt;=Z$9,$D19&lt;Z$9+7),"★","")</f>
        <v/>
      </c>
      <c r="AA19" s="23">
        <f>IF(AND($D19&gt;=AA$9,$D19&lt;AA$9+7),"★","")</f>
        <v/>
      </c>
      <c r="AB19" s="23">
        <f>IF(AND($D19&gt;=AB$9,$D19&lt;AB$9+7),"★","")</f>
        <v/>
      </c>
      <c r="AC19" s="23">
        <f>IF(AND($D19&gt;=AC$9,$D19&lt;AC$9+7),"★","")</f>
        <v/>
      </c>
      <c r="AD19" s="23">
        <f>IF(AND($D19&gt;=AD$9,$D19&lt;AD$9+7),"★","")</f>
        <v/>
      </c>
      <c r="AE19" s="23">
        <f>IF(AND($D19&gt;=AE$9,$D19&lt;AE$9+7),"★","")</f>
        <v/>
      </c>
      <c r="AF19" s="23">
        <f>IF(AND($D19&gt;=AF$9,$D19&lt;AF$9+7),"★","")</f>
        <v/>
      </c>
      <c r="AG19" s="23">
        <f>IF(AND($D19&gt;=AG$9,$D19&lt;AG$9+7),"★","")</f>
        <v/>
      </c>
      <c r="AH19" s="23">
        <f>IF(AND($D19&gt;=AH$9,$D19&lt;AH$9+7),"★","")</f>
        <v/>
      </c>
      <c r="AI19" s="23">
        <f>IF(AND($D19&gt;=AI$9,$D19&lt;AI$9+7),"★","")</f>
        <v/>
      </c>
      <c r="AJ19" s="23">
        <f>IF(AND($D19&gt;=AJ$9,$D19&lt;AJ$9+7),"★","")</f>
        <v/>
      </c>
      <c r="AK19" s="23">
        <f>IF(AND($D19&gt;=AK$9,$D19&lt;AK$9+7),"★","")</f>
        <v/>
      </c>
      <c r="AL19" s="23">
        <f>IF(AND($D19&gt;=AL$9,$D19&lt;AL$9+7),"★","")</f>
        <v/>
      </c>
      <c r="AM19" s="23">
        <f>IF(AND($D19&gt;=AM$9,$D19&lt;AM$9+7),"★","")</f>
        <v/>
      </c>
      <c r="AN19" s="23">
        <f>IF(AND($D19&gt;=AN$9,$D19&lt;AN$9+7),"★","")</f>
        <v/>
      </c>
      <c r="AO19" s="23">
        <f>IF(AND($D19&gt;=AO$9,$D19&lt;AO$9+7),"★","")</f>
        <v/>
      </c>
      <c r="AP19" s="23">
        <f>IF(AND($D19&gt;=AP$9,$D19&lt;AP$9+7),"★","")</f>
        <v/>
      </c>
    </row>
    <row r="20" ht="18" customHeight="1">
      <c r="B20" s="24" t="inlineStr">
        <is>
          <t xml:space="preserve">      Hiring</t>
        </is>
      </c>
      <c r="C20" s="21">
        <f>Inputs!E19</f>
        <v/>
      </c>
      <c r="D20" s="22">
        <f>WORKDAY(E19,1,Holidays)</f>
        <v/>
      </c>
      <c r="E20" s="22">
        <f>WORKDAY(D20,C20*5-1,Holidays)</f>
        <v/>
      </c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</row>
    <row r="21" ht="18" customHeight="1">
      <c r="B21" s="24" t="inlineStr">
        <is>
          <t xml:space="preserve">      Pre-Onboarding</t>
        </is>
      </c>
      <c r="C21" s="21">
        <f>Inputs!F19</f>
        <v/>
      </c>
      <c r="D21" s="22">
        <f>WORKDAY(E20,1,Holidays)</f>
        <v/>
      </c>
      <c r="E21" s="22">
        <f>WORKDAY(D21,C21*5-1,Holidays)</f>
        <v/>
      </c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</row>
    <row r="22" ht="18" customHeight="1">
      <c r="B22" s="24" t="inlineStr">
        <is>
          <t xml:space="preserve">      Knowledge Transfer</t>
        </is>
      </c>
      <c r="C22" s="21">
        <f>Inputs!G19</f>
        <v/>
      </c>
      <c r="D22" s="22">
        <f>WORKDAY(E21,1,Holidays)</f>
        <v/>
      </c>
      <c r="E22" s="22">
        <f>WORKDAY(D22,C22*5-1,Holidays)</f>
        <v/>
      </c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</row>
    <row r="23" ht="18" customHeight="1">
      <c r="B23" s="24" t="inlineStr">
        <is>
          <t xml:space="preserve">      Guided Production</t>
        </is>
      </c>
      <c r="C23" s="21">
        <f>Inputs!H19</f>
        <v/>
      </c>
      <c r="D23" s="22">
        <f>WORKDAY(E22,1,Holidays)</f>
        <v/>
      </c>
      <c r="E23" s="22">
        <f>WORKDAY(D23,C23*5-1,Holidays)</f>
        <v/>
      </c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</row>
    <row r="24" ht="18" customHeight="1">
      <c r="B24" s="26" t="inlineStr">
        <is>
          <t>◆  Go-Live</t>
        </is>
      </c>
      <c r="C24" s="21" t="n"/>
      <c r="D24" s="22">
        <f>WORKDAY(E23,1,Holidays)</f>
        <v/>
      </c>
      <c r="E24" s="22">
        <f>D24</f>
        <v/>
      </c>
      <c r="G24" s="27">
        <f>IF(AND($D24&gt;=G$9,$D24&lt;G$9+7),"◆","")</f>
        <v/>
      </c>
      <c r="H24" s="27">
        <f>IF(AND($D24&gt;=H$9,$D24&lt;H$9+7),"◆","")</f>
        <v/>
      </c>
      <c r="I24" s="27">
        <f>IF(AND($D24&gt;=I$9,$D24&lt;I$9+7),"◆","")</f>
        <v/>
      </c>
      <c r="J24" s="27">
        <f>IF(AND($D24&gt;=J$9,$D24&lt;J$9+7),"◆","")</f>
        <v/>
      </c>
      <c r="K24" s="27">
        <f>IF(AND($D24&gt;=K$9,$D24&lt;K$9+7),"◆","")</f>
        <v/>
      </c>
      <c r="L24" s="27">
        <f>IF(AND($D24&gt;=L$9,$D24&lt;L$9+7),"◆","")</f>
        <v/>
      </c>
      <c r="M24" s="27">
        <f>IF(AND($D24&gt;=M$9,$D24&lt;M$9+7),"◆","")</f>
        <v/>
      </c>
      <c r="N24" s="27">
        <f>IF(AND($D24&gt;=N$9,$D24&lt;N$9+7),"◆","")</f>
        <v/>
      </c>
      <c r="O24" s="27">
        <f>IF(AND($D24&gt;=O$9,$D24&lt;O$9+7),"◆","")</f>
        <v/>
      </c>
      <c r="P24" s="27">
        <f>IF(AND($D24&gt;=P$9,$D24&lt;P$9+7),"◆","")</f>
        <v/>
      </c>
      <c r="Q24" s="27">
        <f>IF(AND($D24&gt;=Q$9,$D24&lt;Q$9+7),"◆","")</f>
        <v/>
      </c>
      <c r="R24" s="27">
        <f>IF(AND($D24&gt;=R$9,$D24&lt;R$9+7),"◆","")</f>
        <v/>
      </c>
      <c r="S24" s="27">
        <f>IF(AND($D24&gt;=S$9,$D24&lt;S$9+7),"◆","")</f>
        <v/>
      </c>
      <c r="T24" s="27">
        <f>IF(AND($D24&gt;=T$9,$D24&lt;T$9+7),"◆","")</f>
        <v/>
      </c>
      <c r="U24" s="27">
        <f>IF(AND($D24&gt;=U$9,$D24&lt;U$9+7),"◆","")</f>
        <v/>
      </c>
      <c r="V24" s="27">
        <f>IF(AND($D24&gt;=V$9,$D24&lt;V$9+7),"◆","")</f>
        <v/>
      </c>
      <c r="W24" s="27">
        <f>IF(AND($D24&gt;=W$9,$D24&lt;W$9+7),"◆","")</f>
        <v/>
      </c>
      <c r="X24" s="27">
        <f>IF(AND($D24&gt;=X$9,$D24&lt;X$9+7),"◆","")</f>
        <v/>
      </c>
      <c r="Y24" s="27">
        <f>IF(AND($D24&gt;=Y$9,$D24&lt;Y$9+7),"◆","")</f>
        <v/>
      </c>
      <c r="Z24" s="27">
        <f>IF(AND($D24&gt;=Z$9,$D24&lt;Z$9+7),"◆","")</f>
        <v/>
      </c>
      <c r="AA24" s="27">
        <f>IF(AND($D24&gt;=AA$9,$D24&lt;AA$9+7),"◆","")</f>
        <v/>
      </c>
      <c r="AB24" s="27">
        <f>IF(AND($D24&gt;=AB$9,$D24&lt;AB$9+7),"◆","")</f>
        <v/>
      </c>
      <c r="AC24" s="27">
        <f>IF(AND($D24&gt;=AC$9,$D24&lt;AC$9+7),"◆","")</f>
        <v/>
      </c>
      <c r="AD24" s="27">
        <f>IF(AND($D24&gt;=AD$9,$D24&lt;AD$9+7),"◆","")</f>
        <v/>
      </c>
      <c r="AE24" s="27">
        <f>IF(AND($D24&gt;=AE$9,$D24&lt;AE$9+7),"◆","")</f>
        <v/>
      </c>
      <c r="AF24" s="27">
        <f>IF(AND($D24&gt;=AF$9,$D24&lt;AF$9+7),"◆","")</f>
        <v/>
      </c>
      <c r="AG24" s="27">
        <f>IF(AND($D24&gt;=AG$9,$D24&lt;AG$9+7),"◆","")</f>
        <v/>
      </c>
      <c r="AH24" s="27">
        <f>IF(AND($D24&gt;=AH$9,$D24&lt;AH$9+7),"◆","")</f>
        <v/>
      </c>
      <c r="AI24" s="27">
        <f>IF(AND($D24&gt;=AI$9,$D24&lt;AI$9+7),"◆","")</f>
        <v/>
      </c>
      <c r="AJ24" s="27">
        <f>IF(AND($D24&gt;=AJ$9,$D24&lt;AJ$9+7),"◆","")</f>
        <v/>
      </c>
      <c r="AK24" s="27">
        <f>IF(AND($D24&gt;=AK$9,$D24&lt;AK$9+7),"◆","")</f>
        <v/>
      </c>
      <c r="AL24" s="27">
        <f>IF(AND($D24&gt;=AL$9,$D24&lt;AL$9+7),"◆","")</f>
        <v/>
      </c>
      <c r="AM24" s="27">
        <f>IF(AND($D24&gt;=AM$9,$D24&lt;AM$9+7),"◆","")</f>
        <v/>
      </c>
      <c r="AN24" s="27">
        <f>IF(AND($D24&gt;=AN$9,$D24&lt;AN$9+7),"◆","")</f>
        <v/>
      </c>
      <c r="AO24" s="27">
        <f>IF(AND($D24&gt;=AO$9,$D24&lt;AO$9+7),"◆","")</f>
        <v/>
      </c>
      <c r="AP24" s="27">
        <f>IF(AND($D24&gt;=AP$9,$D24&lt;AP$9+7),"◆","")</f>
        <v/>
      </c>
    </row>
    <row r="26" ht="20" customHeight="1">
      <c r="B26" s="16">
        <f>Inputs!B20&amp;"  ("&amp;Inputs!C20&amp;")"</f>
        <v/>
      </c>
      <c r="C26" s="17">
        <f>ROUND((E26-D26)/7,0)</f>
        <v/>
      </c>
      <c r="D26" s="18">
        <f>D27</f>
        <v/>
      </c>
      <c r="E26" s="18">
        <f>D32</f>
        <v/>
      </c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</row>
    <row r="27" ht="18" customHeight="1">
      <c r="B27" s="20" t="inlineStr">
        <is>
          <t>★  Contract Signed</t>
        </is>
      </c>
      <c r="C27" s="21" t="n"/>
      <c r="D27" s="22">
        <f>Inputs!D20</f>
        <v/>
      </c>
      <c r="E27" s="22">
        <f>D27</f>
        <v/>
      </c>
      <c r="G27" s="23">
        <f>IF(AND($D27&gt;=G$9,$D27&lt;G$9+7),"★","")</f>
        <v/>
      </c>
      <c r="H27" s="23">
        <f>IF(AND($D27&gt;=H$9,$D27&lt;H$9+7),"★","")</f>
        <v/>
      </c>
      <c r="I27" s="23">
        <f>IF(AND($D27&gt;=I$9,$D27&lt;I$9+7),"★","")</f>
        <v/>
      </c>
      <c r="J27" s="23">
        <f>IF(AND($D27&gt;=J$9,$D27&lt;J$9+7),"★","")</f>
        <v/>
      </c>
      <c r="K27" s="23">
        <f>IF(AND($D27&gt;=K$9,$D27&lt;K$9+7),"★","")</f>
        <v/>
      </c>
      <c r="L27" s="23">
        <f>IF(AND($D27&gt;=L$9,$D27&lt;L$9+7),"★","")</f>
        <v/>
      </c>
      <c r="M27" s="23">
        <f>IF(AND($D27&gt;=M$9,$D27&lt;M$9+7),"★","")</f>
        <v/>
      </c>
      <c r="N27" s="23">
        <f>IF(AND($D27&gt;=N$9,$D27&lt;N$9+7),"★","")</f>
        <v/>
      </c>
      <c r="O27" s="23">
        <f>IF(AND($D27&gt;=O$9,$D27&lt;O$9+7),"★","")</f>
        <v/>
      </c>
      <c r="P27" s="23">
        <f>IF(AND($D27&gt;=P$9,$D27&lt;P$9+7),"★","")</f>
        <v/>
      </c>
      <c r="Q27" s="23">
        <f>IF(AND($D27&gt;=Q$9,$D27&lt;Q$9+7),"★","")</f>
        <v/>
      </c>
      <c r="R27" s="23">
        <f>IF(AND($D27&gt;=R$9,$D27&lt;R$9+7),"★","")</f>
        <v/>
      </c>
      <c r="S27" s="23">
        <f>IF(AND($D27&gt;=S$9,$D27&lt;S$9+7),"★","")</f>
        <v/>
      </c>
      <c r="T27" s="23">
        <f>IF(AND($D27&gt;=T$9,$D27&lt;T$9+7),"★","")</f>
        <v/>
      </c>
      <c r="U27" s="23">
        <f>IF(AND($D27&gt;=U$9,$D27&lt;U$9+7),"★","")</f>
        <v/>
      </c>
      <c r="V27" s="23">
        <f>IF(AND($D27&gt;=V$9,$D27&lt;V$9+7),"★","")</f>
        <v/>
      </c>
      <c r="W27" s="23">
        <f>IF(AND($D27&gt;=W$9,$D27&lt;W$9+7),"★","")</f>
        <v/>
      </c>
      <c r="X27" s="23">
        <f>IF(AND($D27&gt;=X$9,$D27&lt;X$9+7),"★","")</f>
        <v/>
      </c>
      <c r="Y27" s="23">
        <f>IF(AND($D27&gt;=Y$9,$D27&lt;Y$9+7),"★","")</f>
        <v/>
      </c>
      <c r="Z27" s="23">
        <f>IF(AND($D27&gt;=Z$9,$D27&lt;Z$9+7),"★","")</f>
        <v/>
      </c>
      <c r="AA27" s="23">
        <f>IF(AND($D27&gt;=AA$9,$D27&lt;AA$9+7),"★","")</f>
        <v/>
      </c>
      <c r="AB27" s="23">
        <f>IF(AND($D27&gt;=AB$9,$D27&lt;AB$9+7),"★","")</f>
        <v/>
      </c>
      <c r="AC27" s="23">
        <f>IF(AND($D27&gt;=AC$9,$D27&lt;AC$9+7),"★","")</f>
        <v/>
      </c>
      <c r="AD27" s="23">
        <f>IF(AND($D27&gt;=AD$9,$D27&lt;AD$9+7),"★","")</f>
        <v/>
      </c>
      <c r="AE27" s="23">
        <f>IF(AND($D27&gt;=AE$9,$D27&lt;AE$9+7),"★","")</f>
        <v/>
      </c>
      <c r="AF27" s="23">
        <f>IF(AND($D27&gt;=AF$9,$D27&lt;AF$9+7),"★","")</f>
        <v/>
      </c>
      <c r="AG27" s="23">
        <f>IF(AND($D27&gt;=AG$9,$D27&lt;AG$9+7),"★","")</f>
        <v/>
      </c>
      <c r="AH27" s="23">
        <f>IF(AND($D27&gt;=AH$9,$D27&lt;AH$9+7),"★","")</f>
        <v/>
      </c>
      <c r="AI27" s="23">
        <f>IF(AND($D27&gt;=AI$9,$D27&lt;AI$9+7),"★","")</f>
        <v/>
      </c>
      <c r="AJ27" s="23">
        <f>IF(AND($D27&gt;=AJ$9,$D27&lt;AJ$9+7),"★","")</f>
        <v/>
      </c>
      <c r="AK27" s="23">
        <f>IF(AND($D27&gt;=AK$9,$D27&lt;AK$9+7),"★","")</f>
        <v/>
      </c>
      <c r="AL27" s="23">
        <f>IF(AND($D27&gt;=AL$9,$D27&lt;AL$9+7),"★","")</f>
        <v/>
      </c>
      <c r="AM27" s="23">
        <f>IF(AND($D27&gt;=AM$9,$D27&lt;AM$9+7),"★","")</f>
        <v/>
      </c>
      <c r="AN27" s="23">
        <f>IF(AND($D27&gt;=AN$9,$D27&lt;AN$9+7),"★","")</f>
        <v/>
      </c>
      <c r="AO27" s="23">
        <f>IF(AND($D27&gt;=AO$9,$D27&lt;AO$9+7),"★","")</f>
        <v/>
      </c>
      <c r="AP27" s="23">
        <f>IF(AND($D27&gt;=AP$9,$D27&lt;AP$9+7),"★","")</f>
        <v/>
      </c>
    </row>
    <row r="28" ht="18" customHeight="1">
      <c r="B28" s="24" t="inlineStr">
        <is>
          <t xml:space="preserve">      Hiring</t>
        </is>
      </c>
      <c r="C28" s="21">
        <f>Inputs!E20</f>
        <v/>
      </c>
      <c r="D28" s="22">
        <f>WORKDAY(E27,1,Holidays)</f>
        <v/>
      </c>
      <c r="E28" s="22">
        <f>WORKDAY(D28,C28*5-1,Holidays)</f>
        <v/>
      </c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</row>
    <row r="29" ht="18" customHeight="1">
      <c r="B29" s="24" t="inlineStr">
        <is>
          <t xml:space="preserve">      Pre-Onboarding</t>
        </is>
      </c>
      <c r="C29" s="21">
        <f>Inputs!F20</f>
        <v/>
      </c>
      <c r="D29" s="22">
        <f>WORKDAY(E28,1,Holidays)</f>
        <v/>
      </c>
      <c r="E29" s="22">
        <f>WORKDAY(D29,C29*5-1,Holidays)</f>
        <v/>
      </c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</row>
    <row r="30" ht="18" customHeight="1">
      <c r="B30" s="24" t="inlineStr">
        <is>
          <t xml:space="preserve">      Knowledge Transfer</t>
        </is>
      </c>
      <c r="C30" s="21">
        <f>Inputs!G20</f>
        <v/>
      </c>
      <c r="D30" s="22">
        <f>WORKDAY(E29,1,Holidays)</f>
        <v/>
      </c>
      <c r="E30" s="22">
        <f>WORKDAY(D30,C30*5-1,Holidays)</f>
        <v/>
      </c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</row>
    <row r="31" ht="18" customHeight="1">
      <c r="B31" s="24" t="inlineStr">
        <is>
          <t xml:space="preserve">      Guided Production</t>
        </is>
      </c>
      <c r="C31" s="21">
        <f>Inputs!H20</f>
        <v/>
      </c>
      <c r="D31" s="22">
        <f>WORKDAY(E30,1,Holidays)</f>
        <v/>
      </c>
      <c r="E31" s="22">
        <f>WORKDAY(D31,C31*5-1,Holidays)</f>
        <v/>
      </c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</row>
    <row r="32" ht="18" customHeight="1">
      <c r="B32" s="26" t="inlineStr">
        <is>
          <t>◆  Go-Live</t>
        </is>
      </c>
      <c r="C32" s="21" t="n"/>
      <c r="D32" s="22">
        <f>WORKDAY(E31,1,Holidays)</f>
        <v/>
      </c>
      <c r="E32" s="22">
        <f>D32</f>
        <v/>
      </c>
      <c r="G32" s="27">
        <f>IF(AND($D32&gt;=G$9,$D32&lt;G$9+7),"◆","")</f>
        <v/>
      </c>
      <c r="H32" s="27">
        <f>IF(AND($D32&gt;=H$9,$D32&lt;H$9+7),"◆","")</f>
        <v/>
      </c>
      <c r="I32" s="27">
        <f>IF(AND($D32&gt;=I$9,$D32&lt;I$9+7),"◆","")</f>
        <v/>
      </c>
      <c r="J32" s="27">
        <f>IF(AND($D32&gt;=J$9,$D32&lt;J$9+7),"◆","")</f>
        <v/>
      </c>
      <c r="K32" s="27">
        <f>IF(AND($D32&gt;=K$9,$D32&lt;K$9+7),"◆","")</f>
        <v/>
      </c>
      <c r="L32" s="27">
        <f>IF(AND($D32&gt;=L$9,$D32&lt;L$9+7),"◆","")</f>
        <v/>
      </c>
      <c r="M32" s="27">
        <f>IF(AND($D32&gt;=M$9,$D32&lt;M$9+7),"◆","")</f>
        <v/>
      </c>
      <c r="N32" s="27">
        <f>IF(AND($D32&gt;=N$9,$D32&lt;N$9+7),"◆","")</f>
        <v/>
      </c>
      <c r="O32" s="27">
        <f>IF(AND($D32&gt;=O$9,$D32&lt;O$9+7),"◆","")</f>
        <v/>
      </c>
      <c r="P32" s="27">
        <f>IF(AND($D32&gt;=P$9,$D32&lt;P$9+7),"◆","")</f>
        <v/>
      </c>
      <c r="Q32" s="27">
        <f>IF(AND($D32&gt;=Q$9,$D32&lt;Q$9+7),"◆","")</f>
        <v/>
      </c>
      <c r="R32" s="27">
        <f>IF(AND($D32&gt;=R$9,$D32&lt;R$9+7),"◆","")</f>
        <v/>
      </c>
      <c r="S32" s="27">
        <f>IF(AND($D32&gt;=S$9,$D32&lt;S$9+7),"◆","")</f>
        <v/>
      </c>
      <c r="T32" s="27">
        <f>IF(AND($D32&gt;=T$9,$D32&lt;T$9+7),"◆","")</f>
        <v/>
      </c>
      <c r="U32" s="27">
        <f>IF(AND($D32&gt;=U$9,$D32&lt;U$9+7),"◆","")</f>
        <v/>
      </c>
      <c r="V32" s="27">
        <f>IF(AND($D32&gt;=V$9,$D32&lt;V$9+7),"◆","")</f>
        <v/>
      </c>
      <c r="W32" s="27">
        <f>IF(AND($D32&gt;=W$9,$D32&lt;W$9+7),"◆","")</f>
        <v/>
      </c>
      <c r="X32" s="27">
        <f>IF(AND($D32&gt;=X$9,$D32&lt;X$9+7),"◆","")</f>
        <v/>
      </c>
      <c r="Y32" s="27">
        <f>IF(AND($D32&gt;=Y$9,$D32&lt;Y$9+7),"◆","")</f>
        <v/>
      </c>
      <c r="Z32" s="27">
        <f>IF(AND($D32&gt;=Z$9,$D32&lt;Z$9+7),"◆","")</f>
        <v/>
      </c>
      <c r="AA32" s="27">
        <f>IF(AND($D32&gt;=AA$9,$D32&lt;AA$9+7),"◆","")</f>
        <v/>
      </c>
      <c r="AB32" s="27">
        <f>IF(AND($D32&gt;=AB$9,$D32&lt;AB$9+7),"◆","")</f>
        <v/>
      </c>
      <c r="AC32" s="27">
        <f>IF(AND($D32&gt;=AC$9,$D32&lt;AC$9+7),"◆","")</f>
        <v/>
      </c>
      <c r="AD32" s="27">
        <f>IF(AND($D32&gt;=AD$9,$D32&lt;AD$9+7),"◆","")</f>
        <v/>
      </c>
      <c r="AE32" s="27">
        <f>IF(AND($D32&gt;=AE$9,$D32&lt;AE$9+7),"◆","")</f>
        <v/>
      </c>
      <c r="AF32" s="27">
        <f>IF(AND($D32&gt;=AF$9,$D32&lt;AF$9+7),"◆","")</f>
        <v/>
      </c>
      <c r="AG32" s="27">
        <f>IF(AND($D32&gt;=AG$9,$D32&lt;AG$9+7),"◆","")</f>
        <v/>
      </c>
      <c r="AH32" s="27">
        <f>IF(AND($D32&gt;=AH$9,$D32&lt;AH$9+7),"◆","")</f>
        <v/>
      </c>
      <c r="AI32" s="27">
        <f>IF(AND($D32&gt;=AI$9,$D32&lt;AI$9+7),"◆","")</f>
        <v/>
      </c>
      <c r="AJ32" s="27">
        <f>IF(AND($D32&gt;=AJ$9,$D32&lt;AJ$9+7),"◆","")</f>
        <v/>
      </c>
      <c r="AK32" s="27">
        <f>IF(AND($D32&gt;=AK$9,$D32&lt;AK$9+7),"◆","")</f>
        <v/>
      </c>
      <c r="AL32" s="27">
        <f>IF(AND($D32&gt;=AL$9,$D32&lt;AL$9+7),"◆","")</f>
        <v/>
      </c>
      <c r="AM32" s="27">
        <f>IF(AND($D32&gt;=AM$9,$D32&lt;AM$9+7),"◆","")</f>
        <v/>
      </c>
      <c r="AN32" s="27">
        <f>IF(AND($D32&gt;=AN$9,$D32&lt;AN$9+7),"◆","")</f>
        <v/>
      </c>
      <c r="AO32" s="27">
        <f>IF(AND($D32&gt;=AO$9,$D32&lt;AO$9+7),"◆","")</f>
        <v/>
      </c>
      <c r="AP32" s="27">
        <f>IF(AND($D32&gt;=AP$9,$D32&lt;AP$9+7),"◆","")</f>
        <v/>
      </c>
    </row>
    <row r="34">
      <c r="B34" s="28" t="inlineStr">
        <is>
          <t>Legend</t>
        </is>
      </c>
      <c r="G34" s="29" t="inlineStr">
        <is>
          <t>★</t>
        </is>
      </c>
      <c r="H34" s="30" t="inlineStr">
        <is>
          <t>Contract Signed</t>
        </is>
      </c>
      <c r="M34" s="31" t="n"/>
      <c r="N34" s="30" t="inlineStr">
        <is>
          <t>Hiring</t>
        </is>
      </c>
      <c r="Q34" s="32" t="n"/>
      <c r="R34" s="30" t="inlineStr">
        <is>
          <t>Pre-Onboarding</t>
        </is>
      </c>
      <c r="W34" s="33" t="n"/>
      <c r="X34" s="30" t="inlineStr">
        <is>
          <t>Knowledge Transfer</t>
        </is>
      </c>
      <c r="AC34" s="34" t="n"/>
      <c r="AD34" s="30" t="inlineStr">
        <is>
          <t>Guided Production</t>
        </is>
      </c>
      <c r="AI34" s="35" t="inlineStr">
        <is>
          <t>◆</t>
        </is>
      </c>
      <c r="AJ34" s="30" t="inlineStr">
        <is>
          <t>Go-Live</t>
        </is>
      </c>
      <c r="AM34" s="36" t="n"/>
      <c r="AN34" s="30" t="inlineStr">
        <is>
          <t>Today</t>
        </is>
      </c>
    </row>
    <row r="35">
      <c r="B35" s="11" t="inlineStr">
        <is>
          <t>Working days (Mon–Fri); 1 week = 5 working days. Edit dates &amp; durations on the 'Inputs' sheet — this chart redraws automatically.</t>
        </is>
      </c>
    </row>
  </sheetData>
  <mergeCells count="12">
    <mergeCell ref="N6:S6"/>
    <mergeCell ref="U5:Z5"/>
    <mergeCell ref="U6:Z6"/>
    <mergeCell ref="G5:L5"/>
    <mergeCell ref="B4:E4"/>
    <mergeCell ref="G6:L6"/>
    <mergeCell ref="B6:E6"/>
    <mergeCell ref="N5:S5"/>
    <mergeCell ref="U4:Z4"/>
    <mergeCell ref="B5:E5"/>
    <mergeCell ref="G4:L4"/>
    <mergeCell ref="N4:S4"/>
  </mergeCells>
  <conditionalFormatting sqref="G12:AP12">
    <cfRule type="expression" priority="1" dxfId="0">
      <formula>AND(G$9&lt;=$E12,G$9+6&gt;=$D12)</formula>
    </cfRule>
  </conditionalFormatting>
  <conditionalFormatting sqref="G13:AP13">
    <cfRule type="expression" priority="2" dxfId="1">
      <formula>AND(G$9&lt;=$E13,G$9+6&gt;=$D13)</formula>
    </cfRule>
  </conditionalFormatting>
  <conditionalFormatting sqref="G14:AP14">
    <cfRule type="expression" priority="3" dxfId="2">
      <formula>AND(G$9&lt;=$E14,G$9+6&gt;=$D14)</formula>
    </cfRule>
  </conditionalFormatting>
  <conditionalFormatting sqref="G15:AP15">
    <cfRule type="expression" priority="4" dxfId="3">
      <formula>AND(G$9&lt;=$E15,G$9+6&gt;=$D15)</formula>
    </cfRule>
  </conditionalFormatting>
  <conditionalFormatting sqref="G20:AP20">
    <cfRule type="expression" priority="5" dxfId="0">
      <formula>AND(G$9&lt;=$E20,G$9+6&gt;=$D20)</formula>
    </cfRule>
  </conditionalFormatting>
  <conditionalFormatting sqref="G21:AP21">
    <cfRule type="expression" priority="6" dxfId="1">
      <formula>AND(G$9&lt;=$E21,G$9+6&gt;=$D21)</formula>
    </cfRule>
  </conditionalFormatting>
  <conditionalFormatting sqref="G22:AP22">
    <cfRule type="expression" priority="7" dxfId="2">
      <formula>AND(G$9&lt;=$E22,G$9+6&gt;=$D22)</formula>
    </cfRule>
  </conditionalFormatting>
  <conditionalFormatting sqref="G23:AP23">
    <cfRule type="expression" priority="8" dxfId="3">
      <formula>AND(G$9&lt;=$E23,G$9+6&gt;=$D23)</formula>
    </cfRule>
  </conditionalFormatting>
  <conditionalFormatting sqref="G28:AP28">
    <cfRule type="expression" priority="9" dxfId="0">
      <formula>AND(G$9&lt;=$E28,G$9+6&gt;=$D28)</formula>
    </cfRule>
  </conditionalFormatting>
  <conditionalFormatting sqref="G29:AP29">
    <cfRule type="expression" priority="10" dxfId="1">
      <formula>AND(G$9&lt;=$E29,G$9+6&gt;=$D29)</formula>
    </cfRule>
  </conditionalFormatting>
  <conditionalFormatting sqref="G30:AP30">
    <cfRule type="expression" priority="11" dxfId="2">
      <formula>AND(G$9&lt;=$E30,G$9+6&gt;=$D30)</formula>
    </cfRule>
  </conditionalFormatting>
  <conditionalFormatting sqref="G31:AP31">
    <cfRule type="expression" priority="12" dxfId="3">
      <formula>AND(G$9&lt;=$E31,G$9+6&gt;=$D31)</formula>
    </cfRule>
  </conditionalFormatting>
  <conditionalFormatting sqref="G10:AP32">
    <cfRule type="expression" priority="13" dxfId="4">
      <formula>AND(TODAY()&gt;=G$9,TODAY()&lt;G$9+7)</formula>
    </cfRule>
  </conditionalFormatting>
  <conditionalFormatting sqref="G9:AP9">
    <cfRule type="expression" priority="14" dxfId="5">
      <formula>AND(TODAY()&gt;=G$9,TODAY()&lt;G$9+7)</formula>
    </cfRule>
  </conditionalFormatting>
  <pageMargins left="0.3" right="0.3" top="0.4" bottom="0.4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>
      <c r="B1" s="37" t="inlineStr">
        <is>
          <t>Plan Inputs</t>
        </is>
      </c>
    </row>
    <row r="2">
      <c r="B2" s="38" t="inlineStr">
        <is>
          <t>Edit only the YELLOW cells (blue text). Every date on the 'Plan' sheet is a formula and updates automatically.</t>
        </is>
      </c>
    </row>
    <row r="4">
      <c r="B4" s="20" t="inlineStr">
        <is>
          <t>Project name</t>
        </is>
      </c>
      <c r="C4" s="39" t="inlineStr">
        <is>
          <t>Finance Transition Program</t>
        </is>
      </c>
      <c r="D4" s="40" t="n"/>
      <c r="E4" s="41" t="n"/>
    </row>
    <row r="5">
      <c r="B5" s="20" t="inlineStr">
        <is>
          <t>Client</t>
        </is>
      </c>
      <c r="C5" s="39" t="inlineStr">
        <is>
          <t>Acme Corp</t>
        </is>
      </c>
      <c r="D5" s="40" t="n"/>
      <c r="E5" s="41" t="n"/>
    </row>
    <row r="6">
      <c r="B6" s="20" t="inlineStr">
        <is>
          <t>Contract signed date ★</t>
        </is>
      </c>
      <c r="C6" s="42" t="n">
        <v>46314</v>
      </c>
    </row>
    <row r="7">
      <c r="B7" s="20" t="inlineStr">
        <is>
          <t>Pre-Onboarding (weeks)</t>
        </is>
      </c>
      <c r="C7" s="43" t="n">
        <v>2</v>
      </c>
    </row>
    <row r="9">
      <c r="B9" s="44" t="inlineStr">
        <is>
          <t>KT &amp; Guided Production rules by vertical</t>
        </is>
      </c>
    </row>
    <row r="10" ht="30" customHeight="1">
      <c r="B10" s="45" t="inlineStr">
        <is>
          <t>Vertical</t>
        </is>
      </c>
      <c r="C10" s="45" t="inlineStr">
        <is>
          <t>KT (weeks)</t>
        </is>
      </c>
      <c r="D10" s="45" t="inlineStr">
        <is>
          <t>Guided Prod. (weeks)</t>
        </is>
      </c>
    </row>
    <row r="11">
      <c r="B11" s="46" t="inlineStr">
        <is>
          <t>P2P</t>
        </is>
      </c>
      <c r="C11" s="43" t="n">
        <v>4</v>
      </c>
      <c r="D11" s="43" t="n">
        <v>4</v>
      </c>
    </row>
    <row r="12">
      <c r="B12" s="46" t="inlineStr">
        <is>
          <t>OTC</t>
        </is>
      </c>
      <c r="C12" s="43" t="n">
        <v>4</v>
      </c>
      <c r="D12" s="43" t="n">
        <v>4</v>
      </c>
    </row>
    <row r="13">
      <c r="B13" s="46" t="inlineStr">
        <is>
          <t>RTR</t>
        </is>
      </c>
      <c r="C13" s="43" t="n">
        <v>8</v>
      </c>
      <c r="D13" s="43" t="n">
        <v>8</v>
      </c>
    </row>
    <row r="14">
      <c r="B14" s="11" t="inlineStr">
        <is>
          <t>Source: user rule — 4 weeks for P2P &amp; OTC, 8 weeks for RTR.</t>
        </is>
      </c>
    </row>
    <row r="16">
      <c r="B16" s="44" t="inlineStr">
        <is>
          <t>Processes</t>
        </is>
      </c>
    </row>
    <row r="17" ht="30" customHeight="1">
      <c r="B17" s="45" t="inlineStr">
        <is>
          <t>Process</t>
        </is>
      </c>
      <c r="C17" s="45" t="inlineStr">
        <is>
          <t>Vertical</t>
        </is>
      </c>
      <c r="D17" s="45" t="inlineStr">
        <is>
          <t>Contract signed ★</t>
        </is>
      </c>
      <c r="E17" s="45" t="inlineStr">
        <is>
          <t>Hiring (weeks)</t>
        </is>
      </c>
      <c r="F17" s="45" t="inlineStr">
        <is>
          <t>Pre-Onboarding (weeks)</t>
        </is>
      </c>
      <c r="G17" s="45" t="inlineStr">
        <is>
          <t>KT (weeks)</t>
        </is>
      </c>
      <c r="H17" s="45" t="inlineStr">
        <is>
          <t>Guided Prod. (weeks)</t>
        </is>
      </c>
    </row>
    <row r="18">
      <c r="B18" s="46" t="inlineStr">
        <is>
          <t>Procure-to-Pay</t>
        </is>
      </c>
      <c r="C18" s="46" t="inlineStr">
        <is>
          <t>P2P</t>
        </is>
      </c>
      <c r="D18" s="42">
        <f>ContractDate</f>
        <v/>
      </c>
      <c r="E18" s="43" t="n">
        <v>8</v>
      </c>
      <c r="F18" s="47">
        <f>PreOnboardingWeeks</f>
        <v/>
      </c>
      <c r="G18" s="47">
        <f>INDEX($C$11:$C$13,MATCH(C18,$B$11:$B$13,0))</f>
        <v/>
      </c>
      <c r="H18" s="47">
        <f>INDEX($D$11:$D$13,MATCH(C18,$B$11:$B$13,0))</f>
        <v/>
      </c>
    </row>
    <row r="19">
      <c r="B19" s="46" t="inlineStr">
        <is>
          <t>Order-to-Cash</t>
        </is>
      </c>
      <c r="C19" s="46" t="inlineStr">
        <is>
          <t>OTC</t>
        </is>
      </c>
      <c r="D19" s="42">
        <f>ContractDate</f>
        <v/>
      </c>
      <c r="E19" s="43" t="n">
        <v>8</v>
      </c>
      <c r="F19" s="47">
        <f>PreOnboardingWeeks</f>
        <v/>
      </c>
      <c r="G19" s="47">
        <f>INDEX($C$11:$C$13,MATCH(C19,$B$11:$B$13,0))</f>
        <v/>
      </c>
      <c r="H19" s="47">
        <f>INDEX($D$11:$D$13,MATCH(C19,$B$11:$B$13,0))</f>
        <v/>
      </c>
    </row>
    <row r="20">
      <c r="B20" s="46" t="inlineStr">
        <is>
          <t>Record-to-Report</t>
        </is>
      </c>
      <c r="C20" s="46" t="inlineStr">
        <is>
          <t>RTR</t>
        </is>
      </c>
      <c r="D20" s="42">
        <f>ContractDate</f>
        <v/>
      </c>
      <c r="E20" s="43" t="n">
        <v>10</v>
      </c>
      <c r="F20" s="47">
        <f>PreOnboardingWeeks</f>
        <v/>
      </c>
      <c r="G20" s="47">
        <f>INDEX($C$11:$C$13,MATCH(C20,$B$11:$B$13,0))</f>
        <v/>
      </c>
      <c r="H20" s="47">
        <f>INDEX($D$11:$D$13,MATCH(C20,$B$11:$B$13,0))</f>
        <v/>
      </c>
    </row>
    <row r="22">
      <c r="B22" s="48" t="inlineStr">
        <is>
          <t>How dates are calculated (working days Mon–Fri, holidays on the 'Holidays' sheet are skipped):</t>
        </is>
      </c>
    </row>
    <row r="23">
      <c r="B23" s="49" t="inlineStr">
        <is>
          <t xml:space="preserve">  ★ Contract Signed — from the table above (defaults to the project contract date).</t>
        </is>
      </c>
    </row>
    <row r="24">
      <c r="B24" s="49" t="inlineStr">
        <is>
          <t xml:space="preserve">  Hiring — starts next working day after contract; 8–10 weeks standard.</t>
        </is>
      </c>
    </row>
    <row r="25">
      <c r="B25" s="49" t="inlineStr">
        <is>
          <t xml:space="preserve">  Pre-Onboarding — starts next working day after hiring ends; 2 weeks.</t>
        </is>
      </c>
    </row>
    <row r="26">
      <c r="B26" s="49" t="inlineStr">
        <is>
          <t xml:space="preserve">  Knowledge Transfer — after Pre-Onboarding; 4 weeks P2P/OTC, 8 weeks RTR.</t>
        </is>
      </c>
    </row>
    <row r="27">
      <c r="B27" s="49" t="inlineStr">
        <is>
          <t xml:space="preserve">  Guided Production — after KT; 4 weeks P2P/OTC, 8 weeks RTR.</t>
        </is>
      </c>
    </row>
    <row r="28">
      <c r="B28" s="49" t="inlineStr">
        <is>
          <t xml:space="preserve">  ◆ Go-Live — next working day after Guided Production ends.</t>
        </is>
      </c>
    </row>
    <row r="29">
      <c r="B29" s="49" t="inlineStr">
        <is>
          <t xml:space="preserve">  1 week = 5 working days. Pre-Onboarding / KT / Guided Prod. columns in the process table are formulas — change the rules above instead.</t>
        </is>
      </c>
    </row>
  </sheetData>
  <mergeCells count="2">
    <mergeCell ref="C4:E4"/>
    <mergeCell ref="C5:E5"/>
  </mergeCells>
  <dataValidations count="2">
    <dataValidation sqref="E18:E20" showDropDown="0" showInputMessage="0" showErrorMessage="1" allowBlank="0" errorTitle="Hiring duration" error="Standard hiring timeline is 8–10 weeks. Keep this value?" type="whole" errorStyle="warning" operator="between">
      <formula1>8</formula1>
      <formula2>10</formula2>
    </dataValidation>
    <dataValidation sqref="C18:C20" showDropDown="0" showInputMessage="0" showErrorMessage="0" allowBlank="0" type="list">
      <formula1>"P2P,OTC,RTR"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50" t="inlineStr">
        <is>
          <t>Holiday date</t>
        </is>
      </c>
      <c r="B1" s="50" t="inlineStr">
        <is>
          <t>Description (optional)</t>
        </is>
      </c>
      <c r="D1" s="38" t="inlineStr">
        <is>
          <t>Add public / client holidays in column A. They are skipped by every plan date.</t>
        </is>
      </c>
    </row>
    <row r="2">
      <c r="A2" s="51" t="n"/>
    </row>
    <row r="3">
      <c r="A3" s="51" t="n"/>
    </row>
    <row r="4">
      <c r="A4" s="51" t="n"/>
    </row>
    <row r="5">
      <c r="A5" s="51" t="n"/>
    </row>
    <row r="6">
      <c r="A6" s="51" t="n"/>
    </row>
    <row r="7">
      <c r="A7" s="51" t="n"/>
    </row>
    <row r="8">
      <c r="A8" s="51" t="n"/>
    </row>
    <row r="9">
      <c r="A9" s="51" t="n"/>
    </row>
    <row r="10">
      <c r="A10" s="51" t="n"/>
    </row>
    <row r="11">
      <c r="A11" s="51" t="n"/>
    </row>
    <row r="12">
      <c r="A12" s="51" t="n"/>
    </row>
    <row r="13">
      <c r="A13" s="51" t="n"/>
    </row>
    <row r="14">
      <c r="A14" s="51" t="n"/>
    </row>
    <row r="15">
      <c r="A15" s="51" t="n"/>
    </row>
    <row r="16">
      <c r="A16" s="51" t="n"/>
    </row>
    <row r="17">
      <c r="A17" s="51" t="n"/>
    </row>
    <row r="18">
      <c r="A18" s="51" t="n"/>
    </row>
    <row r="19">
      <c r="A19" s="51" t="n"/>
    </row>
    <row r="20">
      <c r="A20" s="51" t="n"/>
    </row>
    <row r="21">
      <c r="A21" s="51" t="n"/>
    </row>
    <row r="22">
      <c r="A22" s="51" t="n"/>
    </row>
    <row r="23">
      <c r="A23" s="51" t="n"/>
    </row>
    <row r="24">
      <c r="A24" s="51" t="n"/>
    </row>
    <row r="25">
      <c r="A25" s="51" t="n"/>
    </row>
    <row r="26">
      <c r="A26" s="51" t="n"/>
    </row>
    <row r="27">
      <c r="A27" s="51" t="n"/>
    </row>
    <row r="28">
      <c r="A28" s="51" t="n"/>
    </row>
    <row r="29">
      <c r="A29" s="51" t="n"/>
    </row>
    <row r="30">
      <c r="A30" s="51" t="n"/>
    </row>
    <row r="31">
      <c r="A31" s="51" t="n"/>
    </row>
    <row r="32">
      <c r="A32" s="51" t="n"/>
    </row>
    <row r="33">
      <c r="A33" s="51" t="n"/>
    </row>
    <row r="34">
      <c r="A34" s="51" t="n"/>
    </row>
    <row r="35">
      <c r="A35" s="51" t="n"/>
    </row>
    <row r="36">
      <c r="A36" s="51" t="n"/>
    </row>
    <row r="37">
      <c r="A37" s="51" t="n"/>
    </row>
    <row r="38">
      <c r="A38" s="51" t="n"/>
    </row>
    <row r="39">
      <c r="A39" s="51" t="n"/>
    </row>
    <row r="40">
      <c r="A40" s="51" t="n"/>
    </row>
    <row r="41">
      <c r="A41" s="51" t="n"/>
    </row>
    <row r="42">
      <c r="A42" s="51" t="n"/>
    </row>
    <row r="43">
      <c r="A43" s="51" t="n"/>
    </row>
    <row r="44">
      <c r="A44" s="51" t="n"/>
    </row>
    <row r="45">
      <c r="A45" s="51" t="n"/>
    </row>
    <row r="46">
      <c r="A46" s="51" t="n"/>
    </row>
    <row r="47">
      <c r="A47" s="51" t="n"/>
    </row>
    <row r="48">
      <c r="A48" s="51" t="n"/>
    </row>
    <row r="49">
      <c r="A49" s="51" t="n"/>
    </row>
    <row r="50">
      <c r="A50" s="51" t="n"/>
    </row>
    <row r="51">
      <c r="A51" s="51" t="n"/>
    </row>
    <row r="52">
      <c r="A52" s="51" t="n"/>
    </row>
    <row r="53">
      <c r="A53" s="51" t="n"/>
    </row>
    <row r="54">
      <c r="A54" s="51" t="n"/>
    </row>
    <row r="55">
      <c r="A55" s="51" t="n"/>
    </row>
    <row r="56">
      <c r="A56" s="51" t="n"/>
    </row>
    <row r="57">
      <c r="A57" s="51" t="n"/>
    </row>
    <row r="58">
      <c r="A58" s="51" t="n"/>
    </row>
    <row r="59">
      <c r="A59" s="51" t="n"/>
    </row>
    <row r="60">
      <c r="A60" s="51" t="n"/>
    </row>
    <row r="61">
      <c r="A61" s="51" t="n"/>
    </row>
    <row r="62">
      <c r="A62" s="51" t="n"/>
    </row>
    <row r="63">
      <c r="A63" s="51" t="n"/>
    </row>
    <row r="64">
      <c r="A64" s="51" t="n"/>
    </row>
    <row r="65">
      <c r="A65" s="51" t="n"/>
    </row>
    <row r="66">
      <c r="A66" s="51" t="n"/>
    </row>
    <row r="67">
      <c r="A67" s="51" t="n"/>
    </row>
    <row r="68">
      <c r="A68" s="51" t="n"/>
    </row>
    <row r="69">
      <c r="A69" s="51" t="n"/>
    </row>
    <row r="70">
      <c r="A70" s="51" t="n"/>
    </row>
    <row r="71">
      <c r="A71" s="51" t="n"/>
    </row>
    <row r="72">
      <c r="A72" s="51" t="n"/>
    </row>
    <row r="73">
      <c r="A73" s="51" t="n"/>
    </row>
    <row r="74">
      <c r="A74" s="51" t="n"/>
    </row>
    <row r="75">
      <c r="A75" s="51" t="n"/>
    </row>
    <row r="76">
      <c r="A76" s="51" t="n"/>
    </row>
    <row r="77">
      <c r="A77" s="51" t="n"/>
    </row>
    <row r="78">
      <c r="A78" s="51" t="n"/>
    </row>
    <row r="79">
      <c r="A79" s="51" t="n"/>
    </row>
    <row r="80">
      <c r="A80" s="51" t="n"/>
    </row>
    <row r="81">
      <c r="A81" s="51" t="n"/>
    </row>
    <row r="82">
      <c r="A82" s="51" t="n"/>
    </row>
    <row r="83">
      <c r="A83" s="51" t="n"/>
    </row>
    <row r="84">
      <c r="A84" s="51" t="n"/>
    </row>
    <row r="85">
      <c r="A85" s="51" t="n"/>
    </row>
    <row r="86">
      <c r="A86" s="51" t="n"/>
    </row>
    <row r="87">
      <c r="A87" s="51" t="n"/>
    </row>
    <row r="88">
      <c r="A88" s="51" t="n"/>
    </row>
    <row r="89">
      <c r="A89" s="51" t="n"/>
    </row>
    <row r="90">
      <c r="A90" s="51" t="n"/>
    </row>
    <row r="91">
      <c r="A91" s="51" t="n"/>
    </row>
    <row r="92">
      <c r="A92" s="51" t="n"/>
    </row>
    <row r="93">
      <c r="A93" s="51" t="n"/>
    </row>
    <row r="94">
      <c r="A94" s="51" t="n"/>
    </row>
    <row r="95">
      <c r="A95" s="51" t="n"/>
    </row>
    <row r="96">
      <c r="A96" s="51" t="n"/>
    </row>
    <row r="97">
      <c r="A97" s="51" t="n"/>
    </row>
    <row r="98">
      <c r="A98" s="51" t="n"/>
    </row>
    <row r="99">
      <c r="A99" s="51" t="n"/>
    </row>
    <row r="100">
      <c r="A100" s="51" t="n"/>
    </row>
    <row r="101">
      <c r="A101" s="51" t="n"/>
    </row>
    <row r="102">
      <c r="A102" s="51" t="n"/>
    </row>
    <row r="103">
      <c r="A103" s="51" t="n"/>
    </row>
    <row r="104">
      <c r="A104" s="51" t="n"/>
    </row>
    <row r="105">
      <c r="A105" s="51" t="n"/>
    </row>
    <row r="106">
      <c r="A106" s="51" t="n"/>
    </row>
    <row r="107">
      <c r="A107" s="51" t="n"/>
    </row>
    <row r="108">
      <c r="A108" s="51" t="n"/>
    </row>
    <row r="109">
      <c r="A109" s="51" t="n"/>
    </row>
    <row r="110">
      <c r="A110" s="51" t="n"/>
    </row>
    <row r="111">
      <c r="A111" s="51" t="n"/>
    </row>
    <row r="112">
      <c r="A112" s="51" t="n"/>
    </row>
    <row r="113">
      <c r="A113" s="51" t="n"/>
    </row>
    <row r="114">
      <c r="A114" s="51" t="n"/>
    </row>
    <row r="115">
      <c r="A115" s="51" t="n"/>
    </row>
    <row r="116">
      <c r="A116" s="51" t="n"/>
    </row>
    <row r="117">
      <c r="A117" s="51" t="n"/>
    </row>
    <row r="118">
      <c r="A118" s="51" t="n"/>
    </row>
    <row r="119">
      <c r="A119" s="51" t="n"/>
    </row>
    <row r="120">
      <c r="A120" s="51" t="n"/>
    </row>
    <row r="121">
      <c r="A121" s="51" t="n"/>
    </row>
    <row r="122">
      <c r="A122" s="51" t="n"/>
    </row>
    <row r="123">
      <c r="A123" s="51" t="n"/>
    </row>
    <row r="124">
      <c r="A124" s="51" t="n"/>
    </row>
    <row r="125">
      <c r="A125" s="51" t="n"/>
    </row>
    <row r="126">
      <c r="A126" s="51" t="n"/>
    </row>
    <row r="127">
      <c r="A127" s="51" t="n"/>
    </row>
    <row r="128">
      <c r="A128" s="51" t="n"/>
    </row>
    <row r="129">
      <c r="A129" s="51" t="n"/>
    </row>
    <row r="130">
      <c r="A130" s="51" t="n"/>
    </row>
    <row r="131">
      <c r="A131" s="51" t="n"/>
    </row>
    <row r="132">
      <c r="A132" s="51" t="n"/>
    </row>
    <row r="133">
      <c r="A133" s="51" t="n"/>
    </row>
    <row r="134">
      <c r="A134" s="51" t="n"/>
    </row>
    <row r="135">
      <c r="A135" s="51" t="n"/>
    </row>
    <row r="136">
      <c r="A136" s="51" t="n"/>
    </row>
    <row r="137">
      <c r="A137" s="51" t="n"/>
    </row>
    <row r="138">
      <c r="A138" s="51" t="n"/>
    </row>
    <row r="139">
      <c r="A139" s="51" t="n"/>
    </row>
    <row r="140">
      <c r="A140" s="51" t="n"/>
    </row>
    <row r="141">
      <c r="A141" s="51" t="n"/>
    </row>
    <row r="142">
      <c r="A142" s="51" t="n"/>
    </row>
    <row r="143">
      <c r="A143" s="51" t="n"/>
    </row>
    <row r="144">
      <c r="A144" s="51" t="n"/>
    </row>
    <row r="145">
      <c r="A145" s="51" t="n"/>
    </row>
    <row r="146">
      <c r="A146" s="51" t="n"/>
    </row>
    <row r="147">
      <c r="A147" s="51" t="n"/>
    </row>
    <row r="148">
      <c r="A148" s="51" t="n"/>
    </row>
    <row r="149">
      <c r="A149" s="51" t="n"/>
    </row>
    <row r="150">
      <c r="A150" s="51" t="n"/>
    </row>
    <row r="151">
      <c r="A151" s="51" t="n"/>
    </row>
    <row r="152">
      <c r="A152" s="51" t="n"/>
    </row>
    <row r="153">
      <c r="A153" s="51" t="n"/>
    </row>
    <row r="154">
      <c r="A154" s="51" t="n"/>
    </row>
    <row r="155">
      <c r="A155" s="51" t="n"/>
    </row>
    <row r="156">
      <c r="A156" s="51" t="n"/>
    </row>
    <row r="157">
      <c r="A157" s="51" t="n"/>
    </row>
    <row r="158">
      <c r="A158" s="51" t="n"/>
    </row>
    <row r="159">
      <c r="A159" s="51" t="n"/>
    </row>
    <row r="160">
      <c r="A160" s="51" t="n"/>
    </row>
    <row r="161">
      <c r="A161" s="51" t="n"/>
    </row>
    <row r="162">
      <c r="A162" s="51" t="n"/>
    </row>
    <row r="163">
      <c r="A163" s="51" t="n"/>
    </row>
    <row r="164">
      <c r="A164" s="51" t="n"/>
    </row>
    <row r="165">
      <c r="A165" s="51" t="n"/>
    </row>
    <row r="166">
      <c r="A166" s="51" t="n"/>
    </row>
    <row r="167">
      <c r="A167" s="51" t="n"/>
    </row>
    <row r="168">
      <c r="A168" s="51" t="n"/>
    </row>
    <row r="169">
      <c r="A169" s="51" t="n"/>
    </row>
    <row r="170">
      <c r="A170" s="51" t="n"/>
    </row>
    <row r="171">
      <c r="A171" s="51" t="n"/>
    </row>
    <row r="172">
      <c r="A172" s="51" t="n"/>
    </row>
    <row r="173">
      <c r="A173" s="51" t="n"/>
    </row>
    <row r="174">
      <c r="A174" s="51" t="n"/>
    </row>
    <row r="175">
      <c r="A175" s="51" t="n"/>
    </row>
    <row r="176">
      <c r="A176" s="51" t="n"/>
    </row>
    <row r="177">
      <c r="A177" s="51" t="n"/>
    </row>
    <row r="178">
      <c r="A178" s="51" t="n"/>
    </row>
    <row r="179">
      <c r="A179" s="51" t="n"/>
    </row>
    <row r="180">
      <c r="A180" s="51" t="n"/>
    </row>
    <row r="181">
      <c r="A181" s="51" t="n"/>
    </row>
    <row r="182">
      <c r="A182" s="51" t="n"/>
    </row>
    <row r="183">
      <c r="A183" s="51" t="n"/>
    </row>
    <row r="184">
      <c r="A184" s="51" t="n"/>
    </row>
    <row r="185">
      <c r="A185" s="51" t="n"/>
    </row>
    <row r="186">
      <c r="A186" s="51" t="n"/>
    </row>
    <row r="187">
      <c r="A187" s="51" t="n"/>
    </row>
    <row r="188">
      <c r="A188" s="51" t="n"/>
    </row>
    <row r="189">
      <c r="A189" s="51" t="n"/>
    </row>
    <row r="190">
      <c r="A190" s="51" t="n"/>
    </row>
    <row r="191">
      <c r="A191" s="51" t="n"/>
    </row>
    <row r="192">
      <c r="A192" s="51" t="n"/>
    </row>
    <row r="193">
      <c r="A193" s="51" t="n"/>
    </row>
    <row r="194">
      <c r="A194" s="51" t="n"/>
    </row>
    <row r="195">
      <c r="A195" s="51" t="n"/>
    </row>
    <row r="196">
      <c r="A196" s="51" t="n"/>
    </row>
    <row r="197">
      <c r="A197" s="51" t="n"/>
    </row>
    <row r="198">
      <c r="A198" s="51" t="n"/>
    </row>
    <row r="199">
      <c r="A199" s="51" t="n"/>
    </row>
    <row r="200">
      <c r="A200" s="51" t="n"/>
    </row>
    <row r="201">
      <c r="A201" s="5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2026-10-10T07:41:17Z</dcterms:created>
  <dcterms:modified xmlns:dcterms="http://purl.org/dc/terms/" xmlns:xsi="http://www.w3.org/2001/XMLSchema-instance" xsi:type="dcterms:W3CDTF">2026-10-10T07:41:18Z</dcterms:modified>
</cp:coreProperties>
</file>